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 summary" sheetId="1" r:id="rId4"/>
    <sheet state="visible" name="Week 1" sheetId="2" r:id="rId5"/>
    <sheet state="visible" name="Week 2" sheetId="3" r:id="rId6"/>
    <sheet state="visible" name="Week 3" sheetId="4" r:id="rId7"/>
    <sheet state="visible" name="Week 4" sheetId="5" r:id="rId8"/>
    <sheet state="visible" name="Week 5" sheetId="6" r:id="rId9"/>
  </sheets>
  <definedNames/>
  <calcPr/>
</workbook>
</file>

<file path=xl/sharedStrings.xml><?xml version="1.0" encoding="utf-8"?>
<sst xmlns="http://schemas.openxmlformats.org/spreadsheetml/2006/main" count="493" uniqueCount="203">
  <si>
    <t>Weekly total (grocery, weekend)</t>
  </si>
  <si>
    <t>Grocery</t>
  </si>
  <si>
    <t>Pret A Manger</t>
  </si>
  <si>
    <t>Poundstretcher</t>
  </si>
  <si>
    <t>Sainsbury</t>
  </si>
  <si>
    <t>holiday</t>
  </si>
  <si>
    <t>weekly</t>
  </si>
  <si>
    <t>weekly-extra</t>
  </si>
  <si>
    <t>Lidl</t>
  </si>
  <si>
    <t>M&amp;S</t>
  </si>
  <si>
    <t xml:space="preserve">Sainsbury's </t>
  </si>
  <si>
    <t>Greggs</t>
  </si>
  <si>
    <t>Week 1</t>
  </si>
  <si>
    <t>Sutton Food Centre</t>
  </si>
  <si>
    <t>30th Mar - 5th Apr</t>
  </si>
  <si>
    <t>Morden Hall Park</t>
  </si>
  <si>
    <t>Dynamic Local</t>
  </si>
  <si>
    <t>Cafe</t>
  </si>
  <si>
    <t>Week 2</t>
  </si>
  <si>
    <t>6th Apr - 12th Apr</t>
  </si>
  <si>
    <t>Tesco</t>
  </si>
  <si>
    <t>Scenery</t>
  </si>
  <si>
    <t>Week 3</t>
  </si>
  <si>
    <t>13th Apr - 19th Apr</t>
  </si>
  <si>
    <t>Village Baker</t>
  </si>
  <si>
    <t>sMart Oriental</t>
  </si>
  <si>
    <t>Trinco</t>
  </si>
  <si>
    <t>2.95 + 9.62</t>
  </si>
  <si>
    <t>Week 4</t>
  </si>
  <si>
    <t>20th Apr - 26th Apr</t>
  </si>
  <si>
    <t xml:space="preserve">Rosslyn </t>
  </si>
  <si>
    <t>Kamsons</t>
  </si>
  <si>
    <t>6.95 + 6.8</t>
  </si>
  <si>
    <t>Week 5</t>
  </si>
  <si>
    <t>27th Apr - 3rd May</t>
  </si>
  <si>
    <t>3.1 + 2.3</t>
  </si>
  <si>
    <t xml:space="preserve">La Peche </t>
  </si>
  <si>
    <t>Total weekly</t>
  </si>
  <si>
    <t xml:space="preserve">Greggs </t>
  </si>
  <si>
    <t xml:space="preserve">weekly-extra </t>
  </si>
  <si>
    <t>8.95 + 3.4</t>
  </si>
  <si>
    <t>GBP budgetted</t>
  </si>
  <si>
    <t>3.9 + 12.67</t>
  </si>
  <si>
    <t>Bills</t>
  </si>
  <si>
    <t>GBP left</t>
  </si>
  <si>
    <t xml:space="preserve">Popeyes </t>
  </si>
  <si>
    <t>Council tax</t>
  </si>
  <si>
    <t>Green Energy</t>
  </si>
  <si>
    <t>Insite</t>
  </si>
  <si>
    <t>8.25 + 9.2</t>
  </si>
  <si>
    <t>SES Water</t>
  </si>
  <si>
    <t>Payment 2/2 380.77 - 227 paid last month, this month: 153.77</t>
  </si>
  <si>
    <t>All transport</t>
  </si>
  <si>
    <t>Boots</t>
  </si>
  <si>
    <t>iTunes 2TB</t>
  </si>
  <si>
    <t>20th of the month</t>
  </si>
  <si>
    <t xml:space="preserve">Sainsbury </t>
  </si>
  <si>
    <t>Savings</t>
  </si>
  <si>
    <t xml:space="preserve">GBP left </t>
  </si>
  <si>
    <t xml:space="preserve">holiday </t>
  </si>
  <si>
    <t xml:space="preserve">Huel </t>
  </si>
  <si>
    <t>HyperOptic</t>
  </si>
  <si>
    <t xml:space="preserve">Change in billing cycle </t>
  </si>
  <si>
    <t>Sutton Barbers</t>
  </si>
  <si>
    <t>mo and adam 18 apr</t>
  </si>
  <si>
    <t>Blike</t>
  </si>
  <si>
    <t>Bike subscription</t>
  </si>
  <si>
    <t>Grand total</t>
  </si>
  <si>
    <t>Total</t>
  </si>
  <si>
    <t>Week total</t>
  </si>
  <si>
    <t>Rent</t>
  </si>
  <si>
    <t>t0030640 (90012335 - 93CT Amer)</t>
  </si>
  <si>
    <t xml:space="preserve">Salary GBP </t>
  </si>
  <si>
    <t>Little Kickers</t>
  </si>
  <si>
    <t xml:space="preserve">Salary GBP left actual </t>
  </si>
  <si>
    <t>Dragonflies</t>
  </si>
  <si>
    <t>975.68 div 2 (Nadia paid 772)</t>
  </si>
  <si>
    <t>GBP 100 budgeted</t>
  </si>
  <si>
    <t>GBP 260 budgeted p.w.</t>
  </si>
  <si>
    <t>Voxi</t>
  </si>
  <si>
    <t>Beginning November 10</t>
  </si>
  <si>
    <t xml:space="preserve">HMRC </t>
  </si>
  <si>
    <t>Paying for self assessment 22-23</t>
  </si>
  <si>
    <t>Spotify</t>
  </si>
  <si>
    <t>8th of April</t>
  </si>
  <si>
    <t>End of month forecast total</t>
  </si>
  <si>
    <t>Weekend</t>
  </si>
  <si>
    <t>Popeyes</t>
  </si>
  <si>
    <t>weekend-0</t>
  </si>
  <si>
    <t>14.45 + 4</t>
  </si>
  <si>
    <t>Astrid Bakery</t>
  </si>
  <si>
    <t>Google Cloud</t>
  </si>
  <si>
    <t>21.4 + 10</t>
  </si>
  <si>
    <t>100GB</t>
  </si>
  <si>
    <t>NOT</t>
  </si>
  <si>
    <t>End of month forecast left</t>
  </si>
  <si>
    <t>Kidspace</t>
  </si>
  <si>
    <t>weekend-1</t>
  </si>
  <si>
    <t>By Anna</t>
  </si>
  <si>
    <t>Ally Pally</t>
  </si>
  <si>
    <t xml:space="preserve">Car racing making for kids </t>
  </si>
  <si>
    <t xml:space="preserve">Kidspace </t>
  </si>
  <si>
    <t>Cafe 3.95 + 5.2 + 3.9 + 4.4</t>
  </si>
  <si>
    <t>Kokoro</t>
  </si>
  <si>
    <t>Cafe 2 + 1</t>
  </si>
  <si>
    <t>Knot</t>
  </si>
  <si>
    <t>LinkedIn Premium</t>
  </si>
  <si>
    <t>13 + 2</t>
  </si>
  <si>
    <t>weekend-2</t>
  </si>
  <si>
    <t>weekend</t>
  </si>
  <si>
    <t>Pokpok</t>
  </si>
  <si>
    <t>Britannia Leisure Centre</t>
  </si>
  <si>
    <t>Apple iPhone</t>
  </si>
  <si>
    <t>Paid back by Nadia 29.14</t>
  </si>
  <si>
    <t>6.4 + 2</t>
  </si>
  <si>
    <t xml:space="preserve">Alfurat </t>
  </si>
  <si>
    <t>Alfurat School, Barclays Bank, Account No: 73456072, Sort Code 20-84-20 (Adam Amer ref, £170 + £22</t>
  </si>
  <si>
    <t>BKK Box</t>
  </si>
  <si>
    <t>Extras (home improvements, shopping, gifts, etc)</t>
  </si>
  <si>
    <t xml:space="preserve">Leigh's </t>
  </si>
  <si>
    <t>12.75 + 7</t>
  </si>
  <si>
    <t>Sourdough Sofia</t>
  </si>
  <si>
    <t>Dyson</t>
  </si>
  <si>
    <t>Payment 3/3</t>
  </si>
  <si>
    <t>home-improvements</t>
  </si>
  <si>
    <t>Lululemon</t>
  </si>
  <si>
    <t>235.8 - 129.6</t>
  </si>
  <si>
    <t xml:space="preserve">nadia </t>
  </si>
  <si>
    <t>Adidas</t>
  </si>
  <si>
    <t xml:space="preserve">326 - 303 refund </t>
  </si>
  <si>
    <t>Transport</t>
  </si>
  <si>
    <t>aaron</t>
  </si>
  <si>
    <t>TFL</t>
  </si>
  <si>
    <t>Haute Flourist</t>
  </si>
  <si>
    <t>Going to work</t>
  </si>
  <si>
    <t>weekday</t>
  </si>
  <si>
    <t>Going to Morden hall park</t>
  </si>
  <si>
    <t>Misuenos Kids</t>
  </si>
  <si>
    <t xml:space="preserve">Going to tradeweb </t>
  </si>
  <si>
    <t>Kidzly</t>
  </si>
  <si>
    <t>nadia</t>
  </si>
  <si>
    <t>Nike</t>
  </si>
  <si>
    <t>Payment 2/3</t>
  </si>
  <si>
    <t>NOTHS</t>
  </si>
  <si>
    <t>Salomon</t>
  </si>
  <si>
    <t>mohamed</t>
  </si>
  <si>
    <t>Lee</t>
  </si>
  <si>
    <t>272 - 269 refund</t>
  </si>
  <si>
    <t xml:space="preserve">Going to Alexandra palace </t>
  </si>
  <si>
    <t>Cos</t>
  </si>
  <si>
    <t>153 - 73.5 refund</t>
  </si>
  <si>
    <t>Going to Britannia leisure centre</t>
  </si>
  <si>
    <t>Ultimate Activity Camp</t>
  </si>
  <si>
    <t xml:space="preserve">adam </t>
  </si>
  <si>
    <t>Murdock</t>
  </si>
  <si>
    <t>GBP 60 budgeted</t>
  </si>
  <si>
    <t xml:space="preserve">mohamed </t>
  </si>
  <si>
    <t>The Projekt Store</t>
  </si>
  <si>
    <t>TK Maxx</t>
  </si>
  <si>
    <t>Vitabiotics</t>
  </si>
  <si>
    <t>Amazon</t>
  </si>
  <si>
    <t>Awesome Books</t>
  </si>
  <si>
    <t>15.35- 2.88</t>
  </si>
  <si>
    <t>adam</t>
  </si>
  <si>
    <t>Adam</t>
  </si>
  <si>
    <t>Gift shop 10 + 16</t>
  </si>
  <si>
    <t>TG Jones</t>
  </si>
  <si>
    <t>BioGaia</t>
  </si>
  <si>
    <t>Toy Barnhaus</t>
  </si>
  <si>
    <t xml:space="preserve">aaron </t>
  </si>
  <si>
    <t>Bargain Zone</t>
  </si>
  <si>
    <t>Uniqlo</t>
  </si>
  <si>
    <t>Payment 1/3</t>
  </si>
  <si>
    <t>Next</t>
  </si>
  <si>
    <t>Avenue Primary Academy</t>
  </si>
  <si>
    <t>Tamarin Fisher</t>
  </si>
  <si>
    <t>For Rach's farewell</t>
  </si>
  <si>
    <t>Aaron toys</t>
  </si>
  <si>
    <t xml:space="preserve">Amazon </t>
  </si>
  <si>
    <t>8.39 + 8.39 + 17.67 payment 1/3 -24.95</t>
  </si>
  <si>
    <t>Sanam</t>
  </si>
  <si>
    <t>AED 153.3 = 31 + 0.93</t>
  </si>
  <si>
    <t>dxb-25</t>
  </si>
  <si>
    <t>Card Factory</t>
  </si>
  <si>
    <t>1.49 + 0.99</t>
  </si>
  <si>
    <t>26.25 + 9.35</t>
  </si>
  <si>
    <t>1 + 12.85</t>
  </si>
  <si>
    <t>2.78 + 1.59</t>
  </si>
  <si>
    <t>12.95 + 9.35 + 1.1</t>
  </si>
  <si>
    <t>10.55 + 29.75 + 0.9</t>
  </si>
  <si>
    <t>2.5 + 7.55</t>
  </si>
  <si>
    <t>Bourne Hall</t>
  </si>
  <si>
    <t>8.22 + 3.4 + 7.5</t>
  </si>
  <si>
    <t>22.3 + 20.45</t>
  </si>
  <si>
    <t>H Samuel</t>
  </si>
  <si>
    <t xml:space="preserve">Cancer free muffin </t>
  </si>
  <si>
    <t>Co-op</t>
  </si>
  <si>
    <t>Nando's</t>
  </si>
  <si>
    <t>9.91 + 17.38</t>
  </si>
  <si>
    <t xml:space="preserve">Going to work meeting </t>
  </si>
  <si>
    <t xml:space="preserve">Train to Ewel east to pick adam and Zak </t>
  </si>
  <si>
    <t xml:space="preserve">Uber </t>
  </si>
  <si>
    <t>Getting adam and Zak back from Arabic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</si>
</sst>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color rgb="FFFFFFFF"/>
      <name val="Arial"/>
    </font>
    <font>
      <b/>
      <color rgb="FFFFFFFF"/>
    </font>
    <font>
      <name val="Arial"/>
    </font>
    <font/>
    <font>
      <b/>
      <color rgb="FF000000"/>
      <name val="Arial"/>
    </font>
    <font>
      <color rgb="FF000000"/>
      <name val="Arial"/>
    </font>
    <font>
      <b/>
    </font>
    <font>
      <color rgb="FFFFFFFF"/>
    </font>
    <font>
      <b/>
      <color rgb="FF000000"/>
    </font>
    <font>
      <sz val="9.0"/>
      <name val="&quot;Arial"/>
    </font>
    <font>
      <sz val="7.0"/>
      <name val="Arial"/>
    </font>
    <font>
      <sz val="9.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3" fontId="1" numFmtId="0" xfId="0" applyAlignment="1" applyFill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4" fontId="5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5" fontId="5" numFmtId="0" xfId="0" applyAlignment="1" applyFill="1" applyFont="1">
      <alignment readingOrder="0" vertical="bottom"/>
    </xf>
    <xf borderId="0" fillId="0" fontId="3" numFmtId="0" xfId="0" applyAlignment="1" applyFont="1">
      <alignment horizontal="right" vertical="bottom"/>
    </xf>
    <xf borderId="0" fillId="5" fontId="5" numFmtId="0" xfId="0" applyAlignment="1" applyFill="1" applyFont="1">
      <alignment vertical="bottom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6" fontId="5" numFmtId="0" xfId="0" applyAlignment="1" applyFill="1" applyFont="1">
      <alignment readingOrder="0" vertical="bottom"/>
    </xf>
    <xf borderId="0" fillId="6" fontId="5" numFmtId="0" xfId="0" applyAlignment="1" applyFill="1" applyFont="1">
      <alignment vertical="bottom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7" fontId="5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8" fontId="2" numFmtId="0" xfId="0" applyAlignment="1" applyFill="1" applyFont="1">
      <alignment readingOrder="0"/>
    </xf>
    <xf borderId="0" fillId="7" fontId="5" numFmtId="0" xfId="0" applyAlignment="1" applyFill="1" applyFont="1">
      <alignment readingOrder="0" vertical="bottom"/>
    </xf>
    <xf borderId="0" fillId="8" fontId="1" numFmtId="0" xfId="0" applyAlignment="1" applyFill="1" applyFont="1">
      <alignment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readingOrder="0"/>
    </xf>
    <xf borderId="0" fillId="8" fontId="1" numFmtId="0" xfId="0" applyAlignment="1" applyFill="1" applyFont="1">
      <alignment vertical="bottom"/>
    </xf>
    <xf borderId="0" fillId="6" fontId="7" numFmtId="0" xfId="0" applyAlignment="1" applyFill="1" applyFont="1">
      <alignment readingOrder="0"/>
    </xf>
    <xf borderId="0" fillId="6" fontId="7" numFmtId="4" xfId="0" applyFill="1" applyFont="1" applyNumberFormat="1"/>
    <xf borderId="0" fillId="0" fontId="3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8" fontId="2" numFmtId="0" xfId="0" applyFill="1" applyFont="1"/>
    <xf borderId="0" fillId="0" fontId="3" numFmtId="0" xfId="0" applyAlignment="1" applyFont="1">
      <alignment horizontal="right" vertical="bottom"/>
    </xf>
    <xf borderId="0" fillId="9" fontId="6" numFmtId="0" xfId="0" applyAlignment="1" applyFill="1" applyFont="1">
      <alignment horizontal="left" readingOrder="0"/>
    </xf>
    <xf borderId="0" fillId="0" fontId="8" numFmtId="0" xfId="0" applyAlignment="1" applyFont="1">
      <alignment readingOrder="0"/>
    </xf>
    <xf borderId="0" fillId="6" fontId="9" numFmtId="0" xfId="0" applyAlignment="1" applyFill="1" applyFont="1">
      <alignment readingOrder="0"/>
    </xf>
    <xf borderId="0" fillId="6" fontId="9" numFmtId="4" xfId="0" applyFill="1" applyFont="1" applyNumberFormat="1"/>
    <xf borderId="0" fillId="0" fontId="10" numFmtId="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2" numFmtId="4" xfId="0" applyAlignment="1" applyFont="1" applyNumberFormat="1">
      <alignment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73.88"/>
    <col customWidth="1" min="3" max="3" width="10.5"/>
    <col customWidth="1" min="4" max="4" width="20.25"/>
    <col customWidth="1" min="7" max="7" width="22.63"/>
  </cols>
  <sheetData>
    <row r="1">
      <c r="A1" s="1" t="s">
        <v>0</v>
      </c>
      <c r="B1" s="2"/>
      <c r="C1" s="2"/>
      <c r="D1" s="2"/>
      <c r="E1" s="5">
        <f>sum(C2:C6)</f>
        <v>1563.4</v>
      </c>
    </row>
    <row r="2">
      <c r="A2" s="4" t="s">
        <v>12</v>
      </c>
      <c r="B2" s="6" t="s">
        <v>14</v>
      </c>
      <c r="C2" s="4">
        <f>sum('Week 1'!H24)</f>
        <v>397.3</v>
      </c>
    </row>
    <row r="3">
      <c r="A3" s="4" t="s">
        <v>18</v>
      </c>
      <c r="B3" s="6" t="s">
        <v>19</v>
      </c>
      <c r="C3" s="4">
        <f>sum('Week 2'!H24)</f>
        <v>333.91</v>
      </c>
    </row>
    <row r="4">
      <c r="A4" s="6" t="s">
        <v>22</v>
      </c>
      <c r="B4" s="6" t="s">
        <v>23</v>
      </c>
      <c r="C4" s="4">
        <f>sum('Week 3'!H21)</f>
        <v>312.41</v>
      </c>
      <c r="D4" s="6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6" t="s">
        <v>28</v>
      </c>
      <c r="B5" s="6" t="s">
        <v>29</v>
      </c>
      <c r="C5" s="4">
        <f>sum('Week 4'!H28)</f>
        <v>278.52</v>
      </c>
      <c r="D5" s="6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6" t="s">
        <v>33</v>
      </c>
      <c r="B6" s="6" t="s">
        <v>34</v>
      </c>
      <c r="C6">
        <f>sum('Week 5'!H28)</f>
        <v>241.26</v>
      </c>
      <c r="D6" s="6"/>
      <c r="E6" s="8"/>
      <c r="F6" s="8"/>
      <c r="G6" s="10" t="s">
        <v>37</v>
      </c>
      <c r="H6" s="10">
        <f>sum(C2:C6)</f>
        <v>1563.4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4"/>
      <c r="G7" s="4" t="s">
        <v>41</v>
      </c>
      <c r="H7" s="4">
        <v>1300.0</v>
      </c>
    </row>
    <row r="8">
      <c r="A8" s="2" t="s">
        <v>43</v>
      </c>
      <c r="E8" s="5">
        <f>sum(C9:C29)</f>
        <v>3578.62</v>
      </c>
      <c r="G8" s="13" t="s">
        <v>44</v>
      </c>
      <c r="H8" s="15">
        <f>minus(H7,H6)</f>
        <v>-263.4</v>
      </c>
    </row>
    <row r="9">
      <c r="A9" s="4" t="s">
        <v>46</v>
      </c>
      <c r="B9" s="4"/>
      <c r="C9" s="4">
        <v>236.64</v>
      </c>
      <c r="G9" s="17" t="s">
        <v>44</v>
      </c>
      <c r="H9" s="17"/>
    </row>
    <row r="10">
      <c r="A10" s="4" t="s">
        <v>47</v>
      </c>
      <c r="C10" s="4">
        <v>111.24</v>
      </c>
      <c r="D10" s="4"/>
    </row>
    <row r="11">
      <c r="A11" s="4" t="s">
        <v>48</v>
      </c>
      <c r="B11" s="4"/>
      <c r="C11" s="4">
        <v>111.2</v>
      </c>
    </row>
    <row r="12">
      <c r="A12" s="18" t="s">
        <v>50</v>
      </c>
      <c r="B12" s="19" t="s">
        <v>51</v>
      </c>
      <c r="C12" s="20">
        <v>0.0</v>
      </c>
      <c r="D12" s="21"/>
      <c r="G12" s="10" t="s">
        <v>52</v>
      </c>
      <c r="H12" s="10">
        <f>sum('Week 1'!C58,'Week 2'!C54,'Week 3'!C57,'Week 4'!C57)</f>
        <v>104.66</v>
      </c>
    </row>
    <row r="13">
      <c r="A13" s="4" t="s">
        <v>54</v>
      </c>
      <c r="B13" s="4" t="s">
        <v>55</v>
      </c>
      <c r="C13" s="4">
        <v>8.99</v>
      </c>
      <c r="G13" s="4" t="s">
        <v>41</v>
      </c>
      <c r="H13" s="4">
        <v>300.0</v>
      </c>
    </row>
    <row r="14">
      <c r="A14" s="4" t="s">
        <v>57</v>
      </c>
      <c r="C14" s="4">
        <v>50.0</v>
      </c>
      <c r="D14" s="4"/>
      <c r="G14" s="22" t="s">
        <v>58</v>
      </c>
      <c r="H14" s="23">
        <f>minus(H13,H12)</f>
        <v>195.34</v>
      </c>
    </row>
    <row r="15">
      <c r="A15" s="18" t="s">
        <v>60</v>
      </c>
      <c r="B15" s="21"/>
      <c r="C15" s="20">
        <v>45.0</v>
      </c>
      <c r="D15" s="21"/>
    </row>
    <row r="16">
      <c r="A16" s="4" t="s">
        <v>61</v>
      </c>
      <c r="B16" s="24" t="s">
        <v>62</v>
      </c>
      <c r="C16" s="4">
        <v>39.0</v>
      </c>
    </row>
    <row r="17">
      <c r="A17" s="25" t="s">
        <v>63</v>
      </c>
      <c r="B17" s="3" t="s">
        <v>64</v>
      </c>
      <c r="C17" s="26">
        <v>47.0</v>
      </c>
      <c r="D17" s="8"/>
    </row>
    <row r="18">
      <c r="A18" s="25" t="s">
        <v>65</v>
      </c>
      <c r="B18" s="25" t="s">
        <v>66</v>
      </c>
      <c r="C18" s="28">
        <v>156.09</v>
      </c>
      <c r="D18" s="9"/>
      <c r="G18" s="29" t="s">
        <v>67</v>
      </c>
      <c r="H18" s="29">
        <f>SUM(H6,C9:C30,C32:C161)</f>
        <v>6378.1</v>
      </c>
    </row>
    <row r="19">
      <c r="A19" s="18" t="s">
        <v>70</v>
      </c>
      <c r="B19" s="19" t="s">
        <v>71</v>
      </c>
      <c r="C19" s="32">
        <v>2325.0</v>
      </c>
      <c r="D19" s="21"/>
      <c r="G19" s="4" t="s">
        <v>72</v>
      </c>
      <c r="H19" s="33">
        <v>6938.03</v>
      </c>
    </row>
    <row r="20">
      <c r="A20" s="4" t="s">
        <v>73</v>
      </c>
      <c r="B20" s="4"/>
      <c r="C20" s="4">
        <v>46.0</v>
      </c>
      <c r="G20" s="35" t="s">
        <v>74</v>
      </c>
      <c r="H20" s="36">
        <f>minus(H19,H18)</f>
        <v>559.93</v>
      </c>
    </row>
    <row r="21">
      <c r="A21" s="9" t="s">
        <v>75</v>
      </c>
      <c r="B21" s="37" t="s">
        <v>76</v>
      </c>
      <c r="C21" s="38">
        <v>203.68</v>
      </c>
      <c r="D21" s="8"/>
    </row>
    <row r="22">
      <c r="A22" s="6" t="s">
        <v>79</v>
      </c>
      <c r="B22" s="6" t="s">
        <v>80</v>
      </c>
      <c r="C22" s="7">
        <v>10.0</v>
      </c>
      <c r="D22" s="8"/>
    </row>
    <row r="23">
      <c r="A23" s="9" t="s">
        <v>81</v>
      </c>
      <c r="B23" s="6" t="s">
        <v>82</v>
      </c>
      <c r="C23" s="7">
        <v>0.0</v>
      </c>
      <c r="D23" s="8"/>
    </row>
    <row r="24">
      <c r="A24" s="4" t="s">
        <v>83</v>
      </c>
      <c r="B24" s="4" t="s">
        <v>84</v>
      </c>
      <c r="C24" s="4">
        <v>16.99</v>
      </c>
      <c r="G24" s="29" t="s">
        <v>85</v>
      </c>
      <c r="H24" s="39">
        <f>SUM(H18,if((H8)&lt;0, 0, (H8)))</f>
        <v>6378.1</v>
      </c>
    </row>
    <row r="25">
      <c r="A25" s="4" t="s">
        <v>91</v>
      </c>
      <c r="B25" s="4" t="s">
        <v>93</v>
      </c>
      <c r="C25" s="4">
        <v>1.79</v>
      </c>
      <c r="G25" s="43" t="s">
        <v>95</v>
      </c>
      <c r="H25" s="44">
        <f>minus(H19,H24)</f>
        <v>559.93</v>
      </c>
    </row>
    <row r="26">
      <c r="A26" s="4" t="s">
        <v>106</v>
      </c>
      <c r="C26" s="4">
        <v>0.0</v>
      </c>
    </row>
    <row r="27">
      <c r="A27" s="4" t="s">
        <v>110</v>
      </c>
      <c r="B27" s="4"/>
      <c r="C27" s="4">
        <v>0.0</v>
      </c>
    </row>
    <row r="28">
      <c r="A28" s="4" t="s">
        <v>112</v>
      </c>
      <c r="B28" s="4" t="s">
        <v>113</v>
      </c>
      <c r="C28" s="4">
        <v>0.0</v>
      </c>
    </row>
    <row r="29">
      <c r="A29" s="4" t="s">
        <v>115</v>
      </c>
      <c r="B29" s="4" t="s">
        <v>116</v>
      </c>
      <c r="C29" s="4">
        <v>170.0</v>
      </c>
    </row>
    <row r="31">
      <c r="A31" s="2" t="s">
        <v>118</v>
      </c>
      <c r="E31" s="5">
        <f>sum(C32:C90)</f>
        <v>1236.08</v>
      </c>
    </row>
    <row r="32">
      <c r="A32" s="4" t="s">
        <v>122</v>
      </c>
      <c r="B32" s="4" t="s">
        <v>123</v>
      </c>
      <c r="C32" s="4">
        <v>30.0</v>
      </c>
      <c r="D32" s="4" t="s">
        <v>124</v>
      </c>
    </row>
    <row r="33">
      <c r="A33" s="4" t="s">
        <v>125</v>
      </c>
      <c r="B33" s="4" t="s">
        <v>126</v>
      </c>
      <c r="C33" s="4">
        <v>106.2</v>
      </c>
      <c r="D33" s="4" t="s">
        <v>127</v>
      </c>
    </row>
    <row r="34">
      <c r="A34" s="4" t="s">
        <v>128</v>
      </c>
      <c r="B34" s="4" t="s">
        <v>129</v>
      </c>
      <c r="C34" s="4">
        <v>23.0</v>
      </c>
      <c r="D34" s="4" t="s">
        <v>131</v>
      </c>
    </row>
    <row r="35">
      <c r="A35" s="4" t="s">
        <v>133</v>
      </c>
      <c r="B35" s="4" t="s">
        <v>123</v>
      </c>
      <c r="C35" s="4">
        <v>24.84</v>
      </c>
      <c r="D35" s="4" t="s">
        <v>127</v>
      </c>
    </row>
    <row r="36">
      <c r="A36" s="4" t="s">
        <v>137</v>
      </c>
      <c r="B36" s="4" t="s">
        <v>123</v>
      </c>
      <c r="C36" s="4">
        <v>6.99</v>
      </c>
      <c r="D36" s="4" t="s">
        <v>131</v>
      </c>
    </row>
    <row r="37">
      <c r="A37" s="4" t="s">
        <v>139</v>
      </c>
      <c r="B37" s="4" t="s">
        <v>123</v>
      </c>
      <c r="C37" s="4">
        <v>6.66</v>
      </c>
      <c r="D37" s="4" t="s">
        <v>131</v>
      </c>
    </row>
    <row r="38">
      <c r="A38" s="8" t="s">
        <v>53</v>
      </c>
      <c r="B38" s="4" t="s">
        <v>123</v>
      </c>
      <c r="C38" s="7">
        <v>9.5</v>
      </c>
      <c r="D38" s="8" t="s">
        <v>140</v>
      </c>
    </row>
    <row r="39">
      <c r="A39" s="9" t="s">
        <v>141</v>
      </c>
      <c r="B39" s="6" t="s">
        <v>142</v>
      </c>
      <c r="C39" s="14">
        <v>26.66</v>
      </c>
      <c r="D39" s="9" t="s">
        <v>140</v>
      </c>
    </row>
    <row r="40">
      <c r="A40" s="8" t="s">
        <v>143</v>
      </c>
      <c r="B40" s="6" t="s">
        <v>142</v>
      </c>
      <c r="C40" s="40">
        <v>10.93</v>
      </c>
      <c r="D40" s="8" t="s">
        <v>127</v>
      </c>
    </row>
    <row r="41">
      <c r="A41" s="9" t="s">
        <v>144</v>
      </c>
      <c r="B41" s="6" t="s">
        <v>142</v>
      </c>
      <c r="C41" s="14">
        <v>43.5</v>
      </c>
      <c r="D41" s="9" t="s">
        <v>145</v>
      </c>
    </row>
    <row r="42">
      <c r="A42" s="4" t="s">
        <v>146</v>
      </c>
      <c r="B42" s="4" t="s">
        <v>147</v>
      </c>
      <c r="C42" s="4">
        <v>3.0</v>
      </c>
      <c r="D42" s="4" t="s">
        <v>145</v>
      </c>
    </row>
    <row r="43">
      <c r="A43" s="4" t="s">
        <v>149</v>
      </c>
      <c r="B43" s="4" t="s">
        <v>150</v>
      </c>
      <c r="C43" s="4">
        <v>79.5</v>
      </c>
      <c r="D43" s="4" t="s">
        <v>145</v>
      </c>
    </row>
    <row r="44">
      <c r="A44" s="4" t="s">
        <v>152</v>
      </c>
      <c r="C44" s="4">
        <v>126.0</v>
      </c>
      <c r="D44" s="4" t="s">
        <v>153</v>
      </c>
    </row>
    <row r="45">
      <c r="A45" s="8" t="s">
        <v>154</v>
      </c>
      <c r="B45" s="8"/>
      <c r="C45" s="40">
        <v>20.0</v>
      </c>
      <c r="D45" s="8" t="s">
        <v>156</v>
      </c>
    </row>
    <row r="46">
      <c r="A46" s="4" t="s">
        <v>157</v>
      </c>
      <c r="C46" s="4">
        <v>150.0</v>
      </c>
      <c r="D46" s="4" t="s">
        <v>156</v>
      </c>
    </row>
    <row r="47">
      <c r="A47" s="4" t="s">
        <v>158</v>
      </c>
      <c r="C47" s="4">
        <v>16.99</v>
      </c>
      <c r="D47" s="4" t="s">
        <v>145</v>
      </c>
    </row>
    <row r="48">
      <c r="A48" s="4" t="s">
        <v>152</v>
      </c>
      <c r="C48" s="4">
        <v>126.0</v>
      </c>
      <c r="D48" s="4" t="s">
        <v>153</v>
      </c>
    </row>
    <row r="49">
      <c r="A49" s="4" t="s">
        <v>159</v>
      </c>
      <c r="C49" s="4">
        <v>15.9</v>
      </c>
      <c r="D49" s="4" t="s">
        <v>131</v>
      </c>
    </row>
    <row r="50">
      <c r="A50" s="4" t="s">
        <v>160</v>
      </c>
      <c r="C50" s="4">
        <v>18.54</v>
      </c>
      <c r="D50" s="4" t="s">
        <v>153</v>
      </c>
    </row>
    <row r="51">
      <c r="A51" s="4" t="s">
        <v>161</v>
      </c>
      <c r="B51" s="4" t="s">
        <v>162</v>
      </c>
      <c r="C51" s="4">
        <v>12.47</v>
      </c>
      <c r="D51" s="4" t="s">
        <v>163</v>
      </c>
    </row>
    <row r="52">
      <c r="A52" s="4" t="s">
        <v>164</v>
      </c>
      <c r="C52" s="4">
        <v>6.0</v>
      </c>
      <c r="D52" s="4" t="s">
        <v>163</v>
      </c>
    </row>
    <row r="53">
      <c r="A53" s="4" t="s">
        <v>15</v>
      </c>
      <c r="B53" s="4" t="s">
        <v>165</v>
      </c>
      <c r="C53" s="4">
        <v>26.0</v>
      </c>
      <c r="D53" s="4" t="s">
        <v>127</v>
      </c>
    </row>
    <row r="54">
      <c r="A54" s="4" t="s">
        <v>166</v>
      </c>
      <c r="C54" s="4">
        <v>9.5</v>
      </c>
      <c r="D54" s="4" t="s">
        <v>163</v>
      </c>
    </row>
    <row r="55">
      <c r="A55" s="4" t="s">
        <v>152</v>
      </c>
      <c r="C55" s="4">
        <v>63.0</v>
      </c>
      <c r="D55" s="4" t="s">
        <v>153</v>
      </c>
    </row>
    <row r="56">
      <c r="A56" s="4" t="s">
        <v>167</v>
      </c>
      <c r="C56" s="4">
        <v>39.57</v>
      </c>
      <c r="D56" s="4" t="s">
        <v>153</v>
      </c>
    </row>
    <row r="57">
      <c r="A57" s="4" t="s">
        <v>168</v>
      </c>
      <c r="C57" s="4">
        <v>7.97</v>
      </c>
      <c r="D57" s="4" t="s">
        <v>169</v>
      </c>
    </row>
    <row r="58">
      <c r="A58" s="4" t="s">
        <v>168</v>
      </c>
      <c r="C58" s="4">
        <v>4.98</v>
      </c>
      <c r="D58" s="4" t="s">
        <v>169</v>
      </c>
    </row>
    <row r="59">
      <c r="A59" s="4" t="s">
        <v>170</v>
      </c>
      <c r="C59" s="4">
        <v>16.97</v>
      </c>
      <c r="D59" s="4" t="s">
        <v>127</v>
      </c>
    </row>
    <row r="60">
      <c r="A60" s="4" t="s">
        <v>171</v>
      </c>
      <c r="B60" s="4" t="s">
        <v>172</v>
      </c>
      <c r="C60" s="4">
        <v>53.06</v>
      </c>
      <c r="D60" s="4" t="s">
        <v>145</v>
      </c>
    </row>
    <row r="61">
      <c r="A61" s="4" t="s">
        <v>173</v>
      </c>
      <c r="C61" s="4">
        <v>6.5</v>
      </c>
      <c r="D61" s="4" t="s">
        <v>131</v>
      </c>
    </row>
    <row r="62">
      <c r="A62" s="4" t="s">
        <v>174</v>
      </c>
      <c r="C62" s="4">
        <v>20.0</v>
      </c>
      <c r="D62" s="4" t="s">
        <v>163</v>
      </c>
    </row>
    <row r="63">
      <c r="A63" s="6" t="s">
        <v>175</v>
      </c>
      <c r="B63" s="6" t="s">
        <v>176</v>
      </c>
      <c r="C63" s="40">
        <v>15.0</v>
      </c>
      <c r="D63" s="8" t="s">
        <v>145</v>
      </c>
    </row>
    <row r="64">
      <c r="A64" s="4" t="s">
        <v>170</v>
      </c>
      <c r="B64" s="4" t="s">
        <v>177</v>
      </c>
      <c r="C64" s="4">
        <v>17.98</v>
      </c>
      <c r="D64" s="4" t="s">
        <v>131</v>
      </c>
    </row>
    <row r="65">
      <c r="A65" s="4" t="s">
        <v>178</v>
      </c>
      <c r="B65" s="4" t="s">
        <v>179</v>
      </c>
      <c r="C65" s="4">
        <v>9.5</v>
      </c>
      <c r="D65" s="4" t="s">
        <v>153</v>
      </c>
    </row>
    <row r="66">
      <c r="A66" s="4" t="s">
        <v>53</v>
      </c>
      <c r="C66" s="4">
        <v>18.98</v>
      </c>
      <c r="D66" s="4" t="s">
        <v>140</v>
      </c>
    </row>
    <row r="67">
      <c r="A67" s="4" t="s">
        <v>160</v>
      </c>
      <c r="C67" s="4">
        <v>29.98</v>
      </c>
      <c r="D67" s="4" t="s">
        <v>131</v>
      </c>
    </row>
    <row r="68">
      <c r="A68" s="4" t="s">
        <v>180</v>
      </c>
      <c r="B68" s="4" t="s">
        <v>181</v>
      </c>
      <c r="C68" s="4">
        <v>31.93</v>
      </c>
      <c r="D68" s="4" t="s">
        <v>182</v>
      </c>
    </row>
    <row r="69">
      <c r="A69" s="4" t="s">
        <v>183</v>
      </c>
      <c r="B69" s="4" t="s">
        <v>184</v>
      </c>
      <c r="C69" s="4">
        <v>2.48</v>
      </c>
      <c r="D69" s="4" t="s">
        <v>131</v>
      </c>
    </row>
  </sheetData>
  <mergeCells count="2">
    <mergeCell ref="A8:D8"/>
    <mergeCell ref="A31:D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70.25"/>
    <col customWidth="1" min="3" max="3" width="10.5"/>
    <col customWidth="1" min="4" max="4" width="19.63"/>
    <col customWidth="1" min="7" max="7" width="19.88"/>
  </cols>
  <sheetData>
    <row r="1">
      <c r="A1" s="2" t="s">
        <v>1</v>
      </c>
    </row>
    <row r="2">
      <c r="A2" s="4" t="s">
        <v>3</v>
      </c>
      <c r="C2" s="4">
        <v>7.25</v>
      </c>
      <c r="D2" s="4" t="s">
        <v>7</v>
      </c>
    </row>
    <row r="3">
      <c r="A3" s="6" t="s">
        <v>10</v>
      </c>
      <c r="B3" s="6"/>
      <c r="C3" s="7">
        <v>25.74</v>
      </c>
      <c r="D3" s="6" t="s">
        <v>6</v>
      </c>
    </row>
    <row r="4">
      <c r="A4" s="4" t="s">
        <v>9</v>
      </c>
      <c r="C4" s="4">
        <v>2.3</v>
      </c>
      <c r="D4" s="4" t="s">
        <v>7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4" t="s">
        <v>20</v>
      </c>
      <c r="C5" s="4">
        <v>0.75</v>
      </c>
      <c r="D5" s="4" t="s">
        <v>7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6" t="s">
        <v>24</v>
      </c>
      <c r="B6" s="6"/>
      <c r="C6" s="7">
        <v>6.25</v>
      </c>
      <c r="D6" s="4" t="s">
        <v>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6" t="s">
        <v>9</v>
      </c>
      <c r="B7" s="9"/>
      <c r="C7" s="7">
        <v>16.15</v>
      </c>
      <c r="D7" s="4" t="s">
        <v>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4" t="s">
        <v>26</v>
      </c>
      <c r="C8" s="4">
        <v>3.32</v>
      </c>
      <c r="D8" s="6" t="s">
        <v>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4" t="s">
        <v>9</v>
      </c>
      <c r="C9" s="4">
        <v>21.95</v>
      </c>
      <c r="D9" s="6" t="s">
        <v>6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6" t="s">
        <v>13</v>
      </c>
      <c r="B10" s="9"/>
      <c r="C10" s="7">
        <v>8.03</v>
      </c>
      <c r="D10" s="6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4" t="s">
        <v>26</v>
      </c>
      <c r="C11" s="4">
        <v>3.32</v>
      </c>
      <c r="D11" s="6" t="s">
        <v>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4" t="s">
        <v>9</v>
      </c>
      <c r="B12" s="6"/>
      <c r="C12" s="7">
        <v>27.3</v>
      </c>
      <c r="D12" s="6" t="s">
        <v>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4" t="s">
        <v>25</v>
      </c>
      <c r="C13" s="4">
        <v>10.77</v>
      </c>
      <c r="D13" s="6" t="s">
        <v>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6" t="s">
        <v>26</v>
      </c>
      <c r="B14" s="6"/>
      <c r="C14" s="7">
        <v>5.63</v>
      </c>
      <c r="D14" s="6" t="s">
        <v>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4" t="s">
        <v>9</v>
      </c>
      <c r="B15" s="4" t="s">
        <v>49</v>
      </c>
      <c r="C15" s="6">
        <v>17.45</v>
      </c>
      <c r="D15" s="6" t="s">
        <v>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4" t="s">
        <v>53</v>
      </c>
      <c r="C16" s="4">
        <v>15.58</v>
      </c>
      <c r="D16" s="6" t="s">
        <v>7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6" t="s">
        <v>56</v>
      </c>
      <c r="B17" s="6"/>
      <c r="C17" s="7">
        <v>9.54</v>
      </c>
      <c r="D17" s="6" t="s">
        <v>7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4" t="s">
        <v>9</v>
      </c>
      <c r="C18" s="6">
        <v>24.2</v>
      </c>
      <c r="D18" s="6" t="s">
        <v>6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4" t="s">
        <v>26</v>
      </c>
      <c r="B19" s="6"/>
      <c r="C19" s="6">
        <v>6.75</v>
      </c>
      <c r="D19" s="6" t="s">
        <v>59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6" t="s">
        <v>11</v>
      </c>
      <c r="B20" s="8"/>
      <c r="C20" s="6">
        <v>4.05</v>
      </c>
      <c r="D20" s="6" t="s">
        <v>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6"/>
      <c r="B21" s="6"/>
      <c r="C21" s="6"/>
      <c r="D21" s="6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6"/>
      <c r="B22" s="8"/>
      <c r="C22" s="6"/>
      <c r="D22" s="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6"/>
      <c r="B23" s="8"/>
      <c r="C23" s="6"/>
      <c r="D23" s="6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8"/>
      <c r="B24" s="8"/>
      <c r="C24" s="27">
        <f>sum(C2:C23)</f>
        <v>216.33</v>
      </c>
      <c r="D24" s="30" t="s">
        <v>68</v>
      </c>
      <c r="E24" s="8"/>
      <c r="F24" s="8"/>
      <c r="G24" s="31" t="s">
        <v>69</v>
      </c>
      <c r="H24" s="34">
        <f>sum(C24,C43,C58)</f>
        <v>397.3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8"/>
      <c r="B25" s="8"/>
      <c r="C25" s="15">
        <f>minus(100,C24)</f>
        <v>-116.33</v>
      </c>
      <c r="D25" s="15" t="s">
        <v>77</v>
      </c>
      <c r="E25" s="8"/>
      <c r="F25" s="8"/>
      <c r="G25" s="15" t="s">
        <v>78</v>
      </c>
      <c r="H25" s="13">
        <f>minus(260,H24)</f>
        <v>-137.3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4"/>
    </row>
    <row r="27">
      <c r="A27" s="2" t="s">
        <v>86</v>
      </c>
    </row>
    <row r="28">
      <c r="A28" s="4" t="s">
        <v>45</v>
      </c>
      <c r="C28" s="4">
        <v>18.77</v>
      </c>
      <c r="D28" s="4" t="s">
        <v>88</v>
      </c>
      <c r="G28" s="17"/>
      <c r="H28" s="17"/>
    </row>
    <row r="29">
      <c r="A29" s="4" t="s">
        <v>90</v>
      </c>
      <c r="B29" s="41" t="s">
        <v>92</v>
      </c>
      <c r="C29" s="4">
        <v>31.4</v>
      </c>
      <c r="D29" s="4" t="s">
        <v>97</v>
      </c>
    </row>
    <row r="30">
      <c r="A30" s="4" t="s">
        <v>99</v>
      </c>
      <c r="B30" s="4" t="s">
        <v>100</v>
      </c>
      <c r="C30" s="4">
        <v>21.0</v>
      </c>
      <c r="D30" s="4" t="s">
        <v>97</v>
      </c>
      <c r="G30" s="42"/>
      <c r="H30" s="42"/>
    </row>
    <row r="31">
      <c r="A31" s="6" t="s">
        <v>99</v>
      </c>
      <c r="B31" s="6" t="s">
        <v>104</v>
      </c>
      <c r="C31" s="7">
        <v>3.0</v>
      </c>
      <c r="D31" s="4" t="s">
        <v>97</v>
      </c>
    </row>
    <row r="32">
      <c r="A32" s="4" t="s">
        <v>105</v>
      </c>
      <c r="C32" s="4">
        <v>8.95</v>
      </c>
      <c r="D32" s="4" t="s">
        <v>97</v>
      </c>
    </row>
    <row r="33">
      <c r="A33" s="4" t="s">
        <v>9</v>
      </c>
      <c r="C33" s="4">
        <v>2.1</v>
      </c>
      <c r="D33" s="4" t="s">
        <v>97</v>
      </c>
    </row>
    <row r="34">
      <c r="A34" s="4" t="s">
        <v>111</v>
      </c>
      <c r="C34" s="4">
        <v>13.9</v>
      </c>
      <c r="D34" s="4" t="s">
        <v>108</v>
      </c>
    </row>
    <row r="35">
      <c r="A35" s="4" t="s">
        <v>111</v>
      </c>
      <c r="B35" s="4" t="s">
        <v>114</v>
      </c>
      <c r="C35" s="4">
        <v>8.4</v>
      </c>
      <c r="D35" s="4" t="s">
        <v>108</v>
      </c>
    </row>
    <row r="36">
      <c r="A36" s="4" t="s">
        <v>117</v>
      </c>
      <c r="C36" s="4">
        <v>12.0</v>
      </c>
      <c r="D36" s="4" t="s">
        <v>108</v>
      </c>
    </row>
    <row r="37">
      <c r="A37" s="4" t="s">
        <v>119</v>
      </c>
      <c r="B37" s="4" t="s">
        <v>120</v>
      </c>
      <c r="C37" s="4">
        <v>19.75</v>
      </c>
      <c r="D37" s="4" t="s">
        <v>108</v>
      </c>
    </row>
    <row r="38">
      <c r="A38" s="4" t="s">
        <v>121</v>
      </c>
      <c r="C38" s="4">
        <v>16.5</v>
      </c>
      <c r="D38" s="4" t="s">
        <v>108</v>
      </c>
    </row>
    <row r="39">
      <c r="D39" s="6"/>
      <c r="F39" s="45"/>
      <c r="G39" s="46"/>
      <c r="H39" s="45"/>
    </row>
    <row r="40">
      <c r="D40" s="6"/>
      <c r="F40" s="45"/>
      <c r="G40" s="46"/>
      <c r="H40" s="45"/>
    </row>
    <row r="41">
      <c r="D41" s="6"/>
      <c r="F41" s="45"/>
      <c r="G41" s="46"/>
      <c r="H41" s="45"/>
    </row>
    <row r="42">
      <c r="D42" s="6"/>
      <c r="F42" s="45"/>
      <c r="G42" s="46"/>
      <c r="H42" s="45"/>
    </row>
    <row r="43">
      <c r="C43" s="27">
        <f>sum(C28:C42)</f>
        <v>155.77</v>
      </c>
      <c r="D43" s="30" t="s">
        <v>68</v>
      </c>
      <c r="F43" s="45"/>
      <c r="G43" s="46"/>
      <c r="H43" s="45"/>
    </row>
    <row r="44">
      <c r="C44" s="15">
        <f>minus(100,C43)</f>
        <v>-55.77</v>
      </c>
      <c r="D44" s="13" t="s">
        <v>77</v>
      </c>
      <c r="F44" s="45"/>
      <c r="G44" s="46"/>
      <c r="H44" s="33"/>
    </row>
    <row r="45">
      <c r="F45" s="45"/>
      <c r="G45" s="46"/>
      <c r="H45" s="45"/>
    </row>
    <row r="46">
      <c r="A46" s="2" t="s">
        <v>130</v>
      </c>
      <c r="F46" s="45"/>
      <c r="G46" s="46"/>
      <c r="H46" s="45"/>
    </row>
    <row r="47">
      <c r="A47" s="6" t="s">
        <v>132</v>
      </c>
      <c r="B47" s="6" t="s">
        <v>148</v>
      </c>
      <c r="C47" s="7">
        <v>12.6</v>
      </c>
      <c r="D47" s="6" t="s">
        <v>109</v>
      </c>
      <c r="F47" s="45"/>
      <c r="G47" s="46"/>
      <c r="H47" s="45"/>
    </row>
    <row r="48">
      <c r="A48" s="3" t="s">
        <v>132</v>
      </c>
      <c r="B48" s="3" t="s">
        <v>151</v>
      </c>
      <c r="C48" s="26">
        <v>12.6</v>
      </c>
      <c r="D48" s="3" t="s">
        <v>109</v>
      </c>
      <c r="F48" s="45"/>
      <c r="G48" s="46"/>
      <c r="H48" s="45"/>
    </row>
    <row r="49">
      <c r="A49" s="3"/>
      <c r="B49" s="3"/>
      <c r="C49" s="26"/>
      <c r="D49" s="3"/>
      <c r="F49" s="45"/>
      <c r="G49" s="46"/>
      <c r="H49" s="45"/>
    </row>
    <row r="50">
      <c r="A50" s="6"/>
      <c r="B50" s="6"/>
      <c r="C50" s="7"/>
      <c r="D50" s="6"/>
      <c r="F50" s="45"/>
      <c r="G50" s="46"/>
      <c r="H50" s="45"/>
    </row>
    <row r="51">
      <c r="A51" s="6"/>
      <c r="B51" s="6"/>
      <c r="C51" s="7"/>
      <c r="D51" s="6"/>
      <c r="F51" s="45"/>
      <c r="G51" s="46"/>
      <c r="H51" s="45"/>
    </row>
    <row r="52">
      <c r="A52" s="3"/>
      <c r="B52" s="3"/>
      <c r="C52" s="26"/>
      <c r="D52" s="3"/>
      <c r="F52" s="45"/>
      <c r="G52" s="46"/>
      <c r="H52" s="45"/>
      <c r="I52" s="47"/>
    </row>
    <row r="53">
      <c r="F53" s="45"/>
      <c r="G53" s="46"/>
      <c r="H53" s="45"/>
      <c r="I53" s="47"/>
    </row>
    <row r="54">
      <c r="A54" s="3"/>
      <c r="B54" s="3"/>
      <c r="C54" s="26"/>
      <c r="D54" s="3"/>
    </row>
    <row r="58">
      <c r="A58" s="4"/>
      <c r="B58" s="4"/>
      <c r="C58" s="27">
        <f>sum(C47:C57)</f>
        <v>25.2</v>
      </c>
      <c r="D58" s="30" t="s">
        <v>68</v>
      </c>
    </row>
    <row r="59">
      <c r="A59" s="4"/>
      <c r="B59" s="4"/>
      <c r="C59" s="23">
        <f>minus(60,C58)</f>
        <v>34.8</v>
      </c>
      <c r="D59" s="22" t="s">
        <v>155</v>
      </c>
    </row>
  </sheetData>
  <mergeCells count="3">
    <mergeCell ref="A1:D1"/>
    <mergeCell ref="A27:D27"/>
    <mergeCell ref="A46:D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70.25"/>
    <col customWidth="1" min="3" max="3" width="10.5"/>
    <col customWidth="1" min="4" max="4" width="19.63"/>
    <col customWidth="1" min="7" max="7" width="19.88"/>
  </cols>
  <sheetData>
    <row r="1">
      <c r="A1" s="2" t="s">
        <v>1</v>
      </c>
    </row>
    <row r="2">
      <c r="A2" s="3" t="s">
        <v>2</v>
      </c>
      <c r="C2" s="4">
        <v>8.94</v>
      </c>
      <c r="D2" s="4" t="s">
        <v>5</v>
      </c>
    </row>
    <row r="3">
      <c r="A3" s="4" t="s">
        <v>8</v>
      </c>
      <c r="C3" s="4">
        <v>2.14</v>
      </c>
      <c r="D3" s="4" t="s">
        <v>5</v>
      </c>
    </row>
    <row r="4">
      <c r="A4" s="6" t="s">
        <v>11</v>
      </c>
      <c r="C4" s="4">
        <v>2.7</v>
      </c>
      <c r="D4" s="4" t="s">
        <v>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6" t="s">
        <v>15</v>
      </c>
      <c r="B5" s="4" t="s">
        <v>17</v>
      </c>
      <c r="C5" s="7">
        <v>15.5</v>
      </c>
      <c r="D5" s="4" t="s">
        <v>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6" t="s">
        <v>4</v>
      </c>
      <c r="B6" s="6"/>
      <c r="C6" s="4">
        <v>38.94</v>
      </c>
      <c r="D6" s="6" t="s">
        <v>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6" t="s">
        <v>9</v>
      </c>
      <c r="B7" s="6"/>
      <c r="C7" s="7">
        <v>35.3</v>
      </c>
      <c r="D7" s="6" t="s">
        <v>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6" t="s">
        <v>25</v>
      </c>
      <c r="C8" s="7">
        <v>5.77</v>
      </c>
      <c r="D8" s="6" t="s">
        <v>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6" t="s">
        <v>13</v>
      </c>
      <c r="C9" s="4">
        <v>6.6</v>
      </c>
      <c r="D9" s="6" t="s">
        <v>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4" t="s">
        <v>26</v>
      </c>
      <c r="B10" s="6" t="s">
        <v>27</v>
      </c>
      <c r="C10" s="7">
        <v>12.57</v>
      </c>
      <c r="D10" s="6" t="s">
        <v>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4" t="s">
        <v>9</v>
      </c>
      <c r="C11" s="4">
        <v>4.9</v>
      </c>
      <c r="D11" s="6" t="s">
        <v>6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4" t="s">
        <v>30</v>
      </c>
      <c r="C12" s="4">
        <v>4.3</v>
      </c>
      <c r="D12" s="6" t="s">
        <v>7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4" t="s">
        <v>9</v>
      </c>
      <c r="B13" s="4" t="s">
        <v>32</v>
      </c>
      <c r="C13" s="4">
        <v>13.75</v>
      </c>
      <c r="D13" s="6" t="s">
        <v>6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3" t="s">
        <v>8</v>
      </c>
      <c r="B14" s="4" t="s">
        <v>35</v>
      </c>
      <c r="C14" s="4">
        <v>5.4</v>
      </c>
      <c r="D14" s="6" t="s">
        <v>6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6" t="s">
        <v>38</v>
      </c>
      <c r="B15" s="6"/>
      <c r="C15" s="7">
        <v>4.05</v>
      </c>
      <c r="D15" s="6" t="s">
        <v>39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6" t="s">
        <v>26</v>
      </c>
      <c r="B16" s="6" t="s">
        <v>40</v>
      </c>
      <c r="C16" s="6">
        <v>12.35</v>
      </c>
      <c r="D16" s="4" t="s">
        <v>7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3" t="s">
        <v>9</v>
      </c>
      <c r="B17" s="4" t="s">
        <v>42</v>
      </c>
      <c r="C17" s="4">
        <v>16.57</v>
      </c>
      <c r="D17" s="6" t="s">
        <v>6</v>
      </c>
      <c r="E17" s="8"/>
      <c r="F17" s="8"/>
      <c r="G17" s="11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6" t="s">
        <v>8</v>
      </c>
      <c r="B18" s="8"/>
      <c r="C18" s="6">
        <v>3.99</v>
      </c>
      <c r="D18" s="4" t="s">
        <v>6</v>
      </c>
      <c r="E18" s="8"/>
      <c r="F18" s="8"/>
      <c r="G18" s="11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9" t="s">
        <v>38</v>
      </c>
      <c r="B19" s="9"/>
      <c r="C19" s="14">
        <v>2.7</v>
      </c>
      <c r="D19" s="9" t="s">
        <v>39</v>
      </c>
      <c r="E19" s="8"/>
      <c r="F19" s="8"/>
      <c r="G19" s="11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6"/>
      <c r="B20" s="8"/>
      <c r="C20" s="16"/>
      <c r="D20" s="16"/>
      <c r="E20" s="8"/>
      <c r="F20" s="8"/>
      <c r="G20" s="11"/>
      <c r="H20" s="12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6"/>
      <c r="B21" s="8"/>
      <c r="C21" s="16"/>
      <c r="D21" s="16"/>
      <c r="E21" s="8"/>
      <c r="F21" s="8"/>
      <c r="G21" s="11"/>
      <c r="H21" s="12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6"/>
      <c r="B22" s="8"/>
      <c r="C22" s="16"/>
      <c r="D22" s="16"/>
      <c r="E22" s="8"/>
      <c r="F22" s="8"/>
      <c r="G22" s="11"/>
      <c r="H22" s="1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E23" s="8"/>
      <c r="F23" s="8"/>
      <c r="G23" s="11"/>
      <c r="H23" s="12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8"/>
      <c r="B24" s="8"/>
      <c r="C24" s="27">
        <f>sum(C2:C23)</f>
        <v>196.47</v>
      </c>
      <c r="D24" s="30" t="s">
        <v>68</v>
      </c>
      <c r="E24" s="8"/>
      <c r="F24" s="8"/>
      <c r="G24" s="31" t="s">
        <v>69</v>
      </c>
      <c r="H24" s="34">
        <f>sum(C24,C43,C54)</f>
        <v>333.91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8"/>
      <c r="B25" s="8"/>
      <c r="C25" s="15">
        <f>minus(100,C24)</f>
        <v>-96.47</v>
      </c>
      <c r="D25" s="15" t="s">
        <v>77</v>
      </c>
      <c r="E25" s="8"/>
      <c r="F25" s="8"/>
      <c r="G25" s="15" t="s">
        <v>78</v>
      </c>
      <c r="H25" s="13">
        <f>minus(260,H24)</f>
        <v>-73.91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4"/>
    </row>
    <row r="27">
      <c r="A27" s="2" t="s">
        <v>86</v>
      </c>
    </row>
    <row r="28">
      <c r="A28" s="9" t="s">
        <v>87</v>
      </c>
      <c r="B28" s="9"/>
      <c r="C28" s="14">
        <v>13.46</v>
      </c>
      <c r="D28" s="9" t="s">
        <v>88</v>
      </c>
    </row>
    <row r="29">
      <c r="A29" s="8" t="s">
        <v>9</v>
      </c>
      <c r="B29" s="8"/>
      <c r="C29" s="40">
        <v>7.5</v>
      </c>
      <c r="D29" s="8" t="s">
        <v>88</v>
      </c>
      <c r="G29" s="17"/>
      <c r="H29" s="17"/>
    </row>
    <row r="30">
      <c r="A30" s="8" t="s">
        <v>96</v>
      </c>
      <c r="B30" s="8"/>
      <c r="C30" s="40">
        <v>38.5</v>
      </c>
      <c r="D30" s="8" t="s">
        <v>97</v>
      </c>
    </row>
    <row r="31">
      <c r="A31" s="8" t="s">
        <v>101</v>
      </c>
      <c r="B31" s="8" t="s">
        <v>102</v>
      </c>
      <c r="C31" s="40">
        <v>17.45</v>
      </c>
      <c r="D31" s="8" t="s">
        <v>97</v>
      </c>
    </row>
    <row r="32">
      <c r="A32" s="8" t="s">
        <v>9</v>
      </c>
      <c r="B32" s="8"/>
      <c r="C32" s="40">
        <v>19.9</v>
      </c>
      <c r="D32" s="8" t="s">
        <v>97</v>
      </c>
    </row>
    <row r="33">
      <c r="A33" s="8" t="s">
        <v>13</v>
      </c>
      <c r="B33" s="8"/>
      <c r="C33" s="40">
        <v>7.03</v>
      </c>
      <c r="D33" s="8" t="s">
        <v>97</v>
      </c>
    </row>
    <row r="34">
      <c r="A34" s="4" t="s">
        <v>26</v>
      </c>
      <c r="B34" s="4" t="s">
        <v>107</v>
      </c>
      <c r="C34" s="4">
        <v>15.0</v>
      </c>
      <c r="D34" s="6" t="s">
        <v>109</v>
      </c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2">
      <c r="A42" s="4"/>
      <c r="B42" s="4"/>
      <c r="C42" s="4"/>
      <c r="D42" s="4"/>
    </row>
    <row r="43">
      <c r="C43" s="27">
        <f>sum(C28:C42)</f>
        <v>118.84</v>
      </c>
      <c r="D43" s="30" t="s">
        <v>68</v>
      </c>
    </row>
    <row r="44">
      <c r="C44" s="15">
        <f>minus(100,C43)</f>
        <v>-18.84</v>
      </c>
      <c r="D44" s="13" t="s">
        <v>77</v>
      </c>
    </row>
    <row r="46">
      <c r="A46" s="2" t="s">
        <v>130</v>
      </c>
    </row>
    <row r="47">
      <c r="A47" s="4" t="s">
        <v>132</v>
      </c>
      <c r="B47" s="4" t="s">
        <v>136</v>
      </c>
      <c r="C47" s="4">
        <v>3.5</v>
      </c>
      <c r="D47" s="4" t="s">
        <v>5</v>
      </c>
    </row>
    <row r="48">
      <c r="A48" s="3" t="s">
        <v>132</v>
      </c>
      <c r="B48" s="3" t="s">
        <v>138</v>
      </c>
      <c r="C48" s="4">
        <v>15.1</v>
      </c>
      <c r="D48" s="4" t="s">
        <v>135</v>
      </c>
    </row>
    <row r="49">
      <c r="A49" s="3"/>
      <c r="B49" s="3"/>
      <c r="C49" s="26"/>
      <c r="D49" s="3"/>
    </row>
    <row r="50">
      <c r="A50" s="3"/>
      <c r="B50" s="3"/>
      <c r="C50" s="26"/>
      <c r="D50" s="3"/>
    </row>
    <row r="51">
      <c r="A51" s="3"/>
      <c r="B51" s="3"/>
      <c r="C51" s="26"/>
      <c r="D51" s="3"/>
    </row>
    <row r="53">
      <c r="A53" s="4"/>
      <c r="B53" s="4"/>
      <c r="C53" s="4"/>
      <c r="D53" s="4"/>
    </row>
    <row r="54">
      <c r="A54" s="4"/>
      <c r="B54" s="4"/>
      <c r="C54" s="27">
        <f>sum(C47:C53)</f>
        <v>18.6</v>
      </c>
      <c r="D54" s="30" t="s">
        <v>68</v>
      </c>
    </row>
    <row r="55">
      <c r="A55" s="4"/>
      <c r="B55" s="4"/>
      <c r="C55" s="23">
        <f>minus(60,C54)</f>
        <v>41.4</v>
      </c>
      <c r="D55" s="22" t="s">
        <v>155</v>
      </c>
    </row>
  </sheetData>
  <mergeCells count="3">
    <mergeCell ref="A1:D1"/>
    <mergeCell ref="A27:D27"/>
    <mergeCell ref="A46:D4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70.25"/>
    <col customWidth="1" min="3" max="3" width="10.5"/>
    <col customWidth="1" min="4" max="4" width="19.63"/>
    <col customWidth="1" min="7" max="7" width="19.88"/>
  </cols>
  <sheetData>
    <row r="1">
      <c r="A1" s="2" t="s">
        <v>1</v>
      </c>
    </row>
    <row r="2">
      <c r="A2" s="4" t="s">
        <v>4</v>
      </c>
      <c r="C2" s="4">
        <v>27.42</v>
      </c>
      <c r="D2" s="4" t="s">
        <v>6</v>
      </c>
    </row>
    <row r="3">
      <c r="A3" s="4" t="s">
        <v>9</v>
      </c>
      <c r="C3" s="4">
        <v>10.95</v>
      </c>
      <c r="D3" s="4" t="s">
        <v>6</v>
      </c>
    </row>
    <row r="4">
      <c r="A4" s="4" t="s">
        <v>13</v>
      </c>
      <c r="C4" s="4">
        <v>24.71</v>
      </c>
      <c r="D4" s="4" t="s">
        <v>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4" t="s">
        <v>16</v>
      </c>
      <c r="C5" s="4">
        <v>3.3</v>
      </c>
      <c r="D5" s="4" t="s">
        <v>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6" t="s">
        <v>21</v>
      </c>
      <c r="B6" s="6"/>
      <c r="C6" s="7">
        <v>8.9</v>
      </c>
      <c r="D6" s="4" t="s">
        <v>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4" t="s">
        <v>8</v>
      </c>
      <c r="C7" s="4">
        <v>2.44</v>
      </c>
      <c r="D7" s="4" t="s">
        <v>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4" t="s">
        <v>9</v>
      </c>
      <c r="C8" s="4">
        <v>39.72</v>
      </c>
      <c r="D8" s="6" t="s">
        <v>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6" t="s">
        <v>26</v>
      </c>
      <c r="C9" s="4">
        <v>3.32</v>
      </c>
      <c r="D9" s="4" t="s">
        <v>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6" t="s">
        <v>31</v>
      </c>
      <c r="C10" s="4">
        <v>9.9</v>
      </c>
      <c r="D10" s="4" t="s">
        <v>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6" t="s">
        <v>36</v>
      </c>
      <c r="C11" s="4">
        <v>27.75</v>
      </c>
      <c r="D11" s="4" t="s">
        <v>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4" t="s">
        <v>26</v>
      </c>
      <c r="C12" s="4">
        <v>2.95</v>
      </c>
      <c r="D12" s="4" t="s">
        <v>7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4" t="s">
        <v>9</v>
      </c>
      <c r="C13" s="4">
        <v>8.0</v>
      </c>
      <c r="D13" s="4" t="s">
        <v>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4" t="s">
        <v>8</v>
      </c>
      <c r="C14" s="4">
        <v>2.09</v>
      </c>
      <c r="D14" s="6" t="s">
        <v>6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4" t="s">
        <v>45</v>
      </c>
      <c r="C15" s="4">
        <v>6.98</v>
      </c>
      <c r="D15" s="4" t="s">
        <v>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6"/>
      <c r="B16" s="6"/>
      <c r="C16" s="6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6"/>
      <c r="B17" s="6"/>
      <c r="C17" s="6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6"/>
      <c r="B18" s="6"/>
      <c r="C18" s="6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6"/>
      <c r="B19" s="8"/>
      <c r="C19" s="6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6"/>
      <c r="B20" s="6"/>
      <c r="C20" s="6"/>
      <c r="D20" s="6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8"/>
      <c r="B21" s="8"/>
      <c r="C21" s="27">
        <f>sum(C2:C20)</f>
        <v>178.43</v>
      </c>
      <c r="D21" s="30" t="s">
        <v>68</v>
      </c>
      <c r="E21" s="8"/>
      <c r="F21" s="8"/>
      <c r="G21" s="31" t="s">
        <v>69</v>
      </c>
      <c r="H21" s="34">
        <f>sum(C21,C37,C57)</f>
        <v>312.41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8"/>
      <c r="B22" s="8"/>
      <c r="C22" s="15">
        <f>minus(100,C21)</f>
        <v>-78.43</v>
      </c>
      <c r="D22" s="15" t="s">
        <v>77</v>
      </c>
      <c r="E22" s="8"/>
      <c r="F22" s="8"/>
      <c r="G22" s="15" t="s">
        <v>78</v>
      </c>
      <c r="H22" s="13">
        <f>minus(260,H21)</f>
        <v>-52.41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4"/>
    </row>
    <row r="24">
      <c r="A24" s="2" t="s">
        <v>86</v>
      </c>
    </row>
    <row r="25">
      <c r="A25" s="6" t="s">
        <v>87</v>
      </c>
      <c r="B25" s="6"/>
      <c r="C25" s="6">
        <v>14.45</v>
      </c>
      <c r="D25" s="6" t="s">
        <v>88</v>
      </c>
    </row>
    <row r="26">
      <c r="A26" s="4" t="s">
        <v>9</v>
      </c>
      <c r="B26" s="4" t="s">
        <v>89</v>
      </c>
      <c r="C26" s="4">
        <v>18.45</v>
      </c>
      <c r="D26" s="4" t="s">
        <v>88</v>
      </c>
      <c r="G26" s="17"/>
      <c r="H26" s="17"/>
    </row>
    <row r="27">
      <c r="A27" s="4" t="s">
        <v>94</v>
      </c>
      <c r="C27" s="4">
        <v>2.0</v>
      </c>
      <c r="D27" s="4" t="s">
        <v>88</v>
      </c>
      <c r="G27" s="42"/>
      <c r="H27" s="42"/>
    </row>
    <row r="28">
      <c r="A28" s="6" t="s">
        <v>98</v>
      </c>
      <c r="C28" s="4">
        <v>3.3</v>
      </c>
      <c r="D28" s="6" t="s">
        <v>97</v>
      </c>
    </row>
    <row r="29">
      <c r="A29" s="4" t="s">
        <v>103</v>
      </c>
      <c r="C29" s="4">
        <v>4.75</v>
      </c>
      <c r="D29" s="6" t="s">
        <v>97</v>
      </c>
    </row>
    <row r="30">
      <c r="A30" s="4" t="s">
        <v>9</v>
      </c>
      <c r="C30" s="4">
        <v>9.3</v>
      </c>
      <c r="D30" s="6" t="s">
        <v>97</v>
      </c>
    </row>
    <row r="31">
      <c r="A31" s="6" t="s">
        <v>8</v>
      </c>
      <c r="C31" s="4">
        <v>2.86</v>
      </c>
      <c r="D31" s="6" t="s">
        <v>97</v>
      </c>
    </row>
    <row r="32">
      <c r="A32" s="4" t="s">
        <v>26</v>
      </c>
      <c r="C32" s="4">
        <v>19.64</v>
      </c>
      <c r="D32" s="6" t="s">
        <v>108</v>
      </c>
    </row>
    <row r="33">
      <c r="A33" s="4" t="s">
        <v>13</v>
      </c>
      <c r="C33" s="4">
        <v>28.58</v>
      </c>
      <c r="D33" s="6" t="s">
        <v>108</v>
      </c>
    </row>
    <row r="34">
      <c r="A34" s="4" t="s">
        <v>20</v>
      </c>
      <c r="C34" s="4">
        <v>2.35</v>
      </c>
      <c r="D34" s="6" t="s">
        <v>108</v>
      </c>
    </row>
    <row r="35">
      <c r="D35" s="6"/>
    </row>
    <row r="37">
      <c r="C37" s="27">
        <f>sum(C25:C36)</f>
        <v>105.68</v>
      </c>
      <c r="D37" s="30" t="s">
        <v>68</v>
      </c>
    </row>
    <row r="38">
      <c r="C38" s="15">
        <f>minus(100,C37)</f>
        <v>-5.68</v>
      </c>
      <c r="D38" s="13" t="s">
        <v>77</v>
      </c>
    </row>
    <row r="40">
      <c r="A40" s="2" t="s">
        <v>130</v>
      </c>
    </row>
    <row r="41">
      <c r="A41" s="3" t="s">
        <v>132</v>
      </c>
      <c r="B41" s="3" t="s">
        <v>134</v>
      </c>
      <c r="C41" s="4">
        <v>13.2</v>
      </c>
      <c r="D41" s="4" t="s">
        <v>135</v>
      </c>
    </row>
    <row r="42">
      <c r="A42" s="3" t="s">
        <v>132</v>
      </c>
      <c r="B42" s="3" t="s">
        <v>134</v>
      </c>
      <c r="C42" s="4">
        <v>15.1</v>
      </c>
      <c r="D42" s="4" t="s">
        <v>135</v>
      </c>
    </row>
    <row r="43">
      <c r="A43" s="3"/>
      <c r="B43" s="3"/>
      <c r="C43" s="26"/>
      <c r="D43" s="3"/>
    </row>
    <row r="44">
      <c r="A44" s="6"/>
      <c r="B44" s="6"/>
      <c r="C44" s="7"/>
      <c r="D44" s="6"/>
    </row>
    <row r="45">
      <c r="A45" s="3"/>
      <c r="B45" s="3"/>
      <c r="C45" s="26"/>
      <c r="D45" s="3"/>
    </row>
    <row r="46">
      <c r="A46" s="3"/>
      <c r="B46" s="3"/>
    </row>
    <row r="50" ht="17.25" customHeight="1">
      <c r="A50" s="3"/>
      <c r="B50" s="3"/>
    </row>
    <row r="51" ht="17.25" customHeight="1">
      <c r="A51" s="3"/>
      <c r="B51" s="3"/>
      <c r="C51" s="26"/>
      <c r="D51" s="3"/>
    </row>
    <row r="52" ht="17.25" customHeight="1">
      <c r="A52" s="3"/>
      <c r="B52" s="3"/>
    </row>
    <row r="53" ht="17.25" customHeight="1">
      <c r="A53" s="3"/>
      <c r="B53" s="3"/>
      <c r="C53" s="26"/>
      <c r="D53" s="3"/>
    </row>
    <row r="54">
      <c r="A54" s="3"/>
      <c r="B54" s="3"/>
    </row>
    <row r="57">
      <c r="A57" s="4"/>
      <c r="B57" s="4"/>
      <c r="C57" s="27">
        <f>sum(C41:C56)</f>
        <v>28.3</v>
      </c>
      <c r="D57" s="30" t="s">
        <v>68</v>
      </c>
    </row>
    <row r="58">
      <c r="A58" s="4"/>
      <c r="B58" s="4"/>
      <c r="C58" s="23">
        <f>minus(60,C57)</f>
        <v>31.7</v>
      </c>
      <c r="D58" s="22" t="s">
        <v>155</v>
      </c>
    </row>
  </sheetData>
  <mergeCells count="3">
    <mergeCell ref="A1:D1"/>
    <mergeCell ref="A24:D24"/>
    <mergeCell ref="A40:D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70.25"/>
    <col customWidth="1" min="3" max="3" width="10.5"/>
    <col customWidth="1" min="4" max="4" width="19.63"/>
    <col customWidth="1" min="7" max="7" width="19.88"/>
  </cols>
  <sheetData>
    <row r="1">
      <c r="A1" s="2" t="s">
        <v>1</v>
      </c>
    </row>
    <row r="2">
      <c r="A2" s="3" t="s">
        <v>53</v>
      </c>
      <c r="C2" s="4">
        <v>5.0</v>
      </c>
      <c r="D2" s="4" t="s">
        <v>7</v>
      </c>
    </row>
    <row r="3">
      <c r="A3" s="4" t="s">
        <v>56</v>
      </c>
      <c r="C3" s="4">
        <v>34.44</v>
      </c>
      <c r="D3" s="4" t="s">
        <v>7</v>
      </c>
    </row>
    <row r="4">
      <c r="A4" s="4" t="s">
        <v>9</v>
      </c>
      <c r="B4" s="4" t="s">
        <v>185</v>
      </c>
      <c r="C4" s="4">
        <v>35.6</v>
      </c>
      <c r="D4" s="4" t="s">
        <v>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4" t="s">
        <v>11</v>
      </c>
      <c r="C5" s="4">
        <v>4.4</v>
      </c>
      <c r="D5" s="4" t="s">
        <v>7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4" t="s">
        <v>26</v>
      </c>
      <c r="C6" s="4">
        <v>3.32</v>
      </c>
      <c r="D6" s="4" t="s">
        <v>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4" t="s">
        <v>9</v>
      </c>
      <c r="B7" s="4" t="s">
        <v>189</v>
      </c>
      <c r="C7" s="4">
        <v>41.2</v>
      </c>
      <c r="D7" s="4" t="s">
        <v>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48" t="s">
        <v>53</v>
      </c>
      <c r="C8" s="4">
        <v>1.1</v>
      </c>
      <c r="D8" s="4" t="s">
        <v>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4" t="s">
        <v>26</v>
      </c>
      <c r="B9" s="6"/>
      <c r="C9" s="6">
        <v>2.95</v>
      </c>
      <c r="D9" s="4" t="s">
        <v>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4" t="s">
        <v>11</v>
      </c>
      <c r="C10" s="4">
        <v>4.05</v>
      </c>
      <c r="D10" s="4" t="s">
        <v>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4" t="s">
        <v>26</v>
      </c>
      <c r="B11" s="6"/>
      <c r="C11" s="6">
        <v>18.29</v>
      </c>
      <c r="D11" s="4" t="s">
        <v>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4" t="s">
        <v>8</v>
      </c>
      <c r="C12" s="4">
        <v>3.82</v>
      </c>
      <c r="D12" s="4" t="s">
        <v>7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6"/>
      <c r="B13" s="6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6"/>
      <c r="B14" s="6"/>
      <c r="C14" s="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B15" s="6"/>
      <c r="C15" s="6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48"/>
      <c r="B16" s="6"/>
      <c r="C16" s="6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B18" s="6"/>
      <c r="C18" s="6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48"/>
      <c r="B19" s="6"/>
      <c r="C19" s="6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48"/>
      <c r="B20" s="8"/>
      <c r="C20" s="6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6"/>
      <c r="B21" s="6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48"/>
      <c r="B22" s="8"/>
      <c r="C22" s="6"/>
      <c r="D22" s="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6"/>
      <c r="B23" s="8"/>
      <c r="C23" s="6"/>
      <c r="D23" s="6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6"/>
      <c r="B24" s="8"/>
      <c r="C24" s="6"/>
      <c r="D24" s="6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6"/>
      <c r="B25" s="8"/>
      <c r="C25" s="6"/>
      <c r="D25" s="6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6"/>
      <c r="B26" s="8"/>
      <c r="C26" s="6"/>
      <c r="D26" s="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6"/>
      <c r="B27" s="8"/>
      <c r="C27" s="6"/>
      <c r="D27" s="6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8"/>
      <c r="C28" s="27">
        <f>sum(C2:C27)</f>
        <v>154.17</v>
      </c>
      <c r="D28" s="30" t="s">
        <v>68</v>
      </c>
      <c r="E28" s="8"/>
      <c r="F28" s="8"/>
      <c r="G28" s="31" t="s">
        <v>69</v>
      </c>
      <c r="H28" s="34">
        <f>sum(C28,C43,C57)</f>
        <v>278.52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15">
        <f>minus(100,C28)</f>
        <v>-54.17</v>
      </c>
      <c r="D29" s="15" t="s">
        <v>77</v>
      </c>
      <c r="E29" s="8"/>
      <c r="F29" s="8"/>
      <c r="G29" s="15" t="s">
        <v>78</v>
      </c>
      <c r="H29" s="13">
        <f>minus(260,H28)</f>
        <v>-18.52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4"/>
    </row>
    <row r="31">
      <c r="A31" s="2" t="s">
        <v>86</v>
      </c>
    </row>
    <row r="32">
      <c r="A32" s="4" t="s">
        <v>87</v>
      </c>
      <c r="C32" s="4">
        <v>6.98</v>
      </c>
      <c r="D32" s="4" t="s">
        <v>88</v>
      </c>
      <c r="G32" s="17"/>
      <c r="H32" s="17"/>
    </row>
    <row r="33">
      <c r="A33" s="6" t="s">
        <v>13</v>
      </c>
      <c r="B33" s="6"/>
      <c r="C33" s="6">
        <v>3.72</v>
      </c>
      <c r="D33" s="4" t="s">
        <v>88</v>
      </c>
      <c r="G33" s="42"/>
      <c r="H33" s="42"/>
    </row>
    <row r="34">
      <c r="A34" s="6" t="s">
        <v>191</v>
      </c>
      <c r="B34" s="4" t="s">
        <v>17</v>
      </c>
      <c r="C34" s="4">
        <v>2.5</v>
      </c>
      <c r="D34" s="6" t="s">
        <v>97</v>
      </c>
    </row>
    <row r="35">
      <c r="A35" s="4" t="s">
        <v>9</v>
      </c>
      <c r="B35" s="4" t="s">
        <v>193</v>
      </c>
      <c r="C35" s="4">
        <v>42.75</v>
      </c>
      <c r="D35" s="6" t="s">
        <v>97</v>
      </c>
    </row>
    <row r="36">
      <c r="A36" s="4" t="s">
        <v>196</v>
      </c>
      <c r="C36" s="4">
        <v>4.5</v>
      </c>
      <c r="D36" s="4" t="s">
        <v>108</v>
      </c>
    </row>
    <row r="37">
      <c r="A37" s="4" t="s">
        <v>26</v>
      </c>
      <c r="B37" s="4" t="s">
        <v>198</v>
      </c>
      <c r="C37" s="4">
        <v>27.29</v>
      </c>
      <c r="D37" s="4" t="s">
        <v>108</v>
      </c>
    </row>
    <row r="38">
      <c r="A38" s="4" t="s">
        <v>11</v>
      </c>
      <c r="C38" s="4">
        <v>4.05</v>
      </c>
      <c r="D38" s="4" t="s">
        <v>108</v>
      </c>
    </row>
    <row r="43">
      <c r="C43" s="27">
        <f>sum(C32:C42)</f>
        <v>91.79</v>
      </c>
      <c r="D43" s="30" t="s">
        <v>68</v>
      </c>
    </row>
    <row r="44">
      <c r="C44" s="23">
        <f>minus(100,C43)</f>
        <v>8.21</v>
      </c>
      <c r="D44" s="22" t="s">
        <v>77</v>
      </c>
    </row>
    <row r="46">
      <c r="A46" s="2" t="s">
        <v>130</v>
      </c>
    </row>
    <row r="47">
      <c r="A47" s="3" t="s">
        <v>132</v>
      </c>
      <c r="B47" s="3" t="s">
        <v>199</v>
      </c>
      <c r="C47" s="4">
        <v>11.0</v>
      </c>
      <c r="D47" s="3" t="s">
        <v>135</v>
      </c>
    </row>
    <row r="48">
      <c r="A48" s="3" t="s">
        <v>132</v>
      </c>
      <c r="B48" s="3" t="s">
        <v>200</v>
      </c>
      <c r="C48" s="26">
        <v>3.0</v>
      </c>
      <c r="D48" s="3" t="s">
        <v>109</v>
      </c>
    </row>
    <row r="49">
      <c r="A49" s="6" t="s">
        <v>201</v>
      </c>
      <c r="B49" s="6" t="s">
        <v>202</v>
      </c>
      <c r="C49" s="7">
        <v>18.56</v>
      </c>
      <c r="D49" s="6" t="s">
        <v>109</v>
      </c>
    </row>
    <row r="51">
      <c r="A51" s="3"/>
      <c r="B51" s="3"/>
      <c r="C51" s="26"/>
      <c r="D51" s="3"/>
    </row>
    <row r="53">
      <c r="A53" s="3"/>
      <c r="B53" s="3"/>
      <c r="C53" s="26"/>
      <c r="D53" s="3"/>
    </row>
    <row r="56">
      <c r="A56" s="4"/>
      <c r="B56" s="4"/>
      <c r="C56" s="4"/>
      <c r="D56" s="4"/>
    </row>
    <row r="57">
      <c r="A57" s="4"/>
      <c r="B57" s="4"/>
      <c r="C57" s="27">
        <f>sum(C47:C56)</f>
        <v>32.56</v>
      </c>
      <c r="D57" s="30" t="s">
        <v>68</v>
      </c>
    </row>
    <row r="58">
      <c r="A58" s="4"/>
      <c r="B58" s="4"/>
      <c r="C58" s="23">
        <f>minus(60,C57)</f>
        <v>27.44</v>
      </c>
      <c r="D58" s="22" t="s">
        <v>155</v>
      </c>
    </row>
  </sheetData>
  <mergeCells count="3">
    <mergeCell ref="A1:D1"/>
    <mergeCell ref="A31:D31"/>
    <mergeCell ref="A46:D4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70.25"/>
    <col customWidth="1" min="3" max="3" width="10.5"/>
    <col customWidth="1" min="4" max="4" width="19.63"/>
    <col customWidth="1" min="7" max="7" width="19.88"/>
  </cols>
  <sheetData>
    <row r="1">
      <c r="A1" s="2" t="s">
        <v>1</v>
      </c>
    </row>
    <row r="2">
      <c r="A2" s="3" t="s">
        <v>56</v>
      </c>
      <c r="C2" s="4">
        <v>40.18</v>
      </c>
      <c r="D2" s="4" t="s">
        <v>6</v>
      </c>
    </row>
    <row r="3">
      <c r="A3" s="4" t="s">
        <v>13</v>
      </c>
      <c r="C3" s="4">
        <v>29.38</v>
      </c>
      <c r="D3" s="4" t="s">
        <v>6</v>
      </c>
    </row>
    <row r="4">
      <c r="A4" s="4" t="s">
        <v>9</v>
      </c>
      <c r="B4" s="4" t="s">
        <v>186</v>
      </c>
      <c r="C4" s="4">
        <v>13.85</v>
      </c>
      <c r="D4" s="4" t="s">
        <v>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4" t="s">
        <v>8</v>
      </c>
      <c r="B5" s="4" t="s">
        <v>187</v>
      </c>
      <c r="C5" s="4">
        <v>4.37</v>
      </c>
      <c r="D5" s="4" t="s">
        <v>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4" t="s">
        <v>9</v>
      </c>
      <c r="B6" s="4" t="s">
        <v>188</v>
      </c>
      <c r="C6" s="4">
        <v>23.4</v>
      </c>
      <c r="D6" s="4" t="s">
        <v>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48" t="s">
        <v>8</v>
      </c>
      <c r="C7" s="4">
        <v>1.59</v>
      </c>
      <c r="D7" s="4" t="s">
        <v>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4" t="s">
        <v>26</v>
      </c>
      <c r="C8" s="4">
        <v>3.32</v>
      </c>
      <c r="D8" s="4" t="s">
        <v>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6" t="s">
        <v>9</v>
      </c>
      <c r="B9" s="6" t="s">
        <v>190</v>
      </c>
      <c r="C9" s="6">
        <v>10.05</v>
      </c>
      <c r="D9" s="4" t="s">
        <v>6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4" t="s">
        <v>26</v>
      </c>
      <c r="C10" s="4">
        <v>3.32</v>
      </c>
      <c r="D10" s="4" t="s">
        <v>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4" t="s">
        <v>13</v>
      </c>
      <c r="C11" s="4">
        <v>12.51</v>
      </c>
      <c r="D11" s="4" t="s">
        <v>6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6"/>
      <c r="B13" s="6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6"/>
      <c r="B14" s="6"/>
      <c r="C14" s="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B15" s="6"/>
      <c r="C15" s="6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48"/>
      <c r="B16" s="6"/>
      <c r="C16" s="6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B18" s="6"/>
      <c r="C18" s="6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48"/>
      <c r="B19" s="6"/>
      <c r="C19" s="6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48"/>
      <c r="B20" s="8"/>
      <c r="C20" s="6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6"/>
      <c r="B21" s="6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48"/>
      <c r="B22" s="8"/>
      <c r="C22" s="6"/>
      <c r="D22" s="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6"/>
      <c r="B23" s="8"/>
      <c r="C23" s="6"/>
      <c r="D23" s="6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6"/>
      <c r="B24" s="8"/>
      <c r="C24" s="6"/>
      <c r="D24" s="6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6"/>
      <c r="B25" s="8"/>
      <c r="C25" s="6"/>
      <c r="D25" s="6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6"/>
      <c r="B26" s="8"/>
      <c r="C26" s="6"/>
      <c r="D26" s="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6"/>
      <c r="B27" s="8"/>
      <c r="C27" s="6"/>
      <c r="D27" s="6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8"/>
      <c r="C28" s="27">
        <f>sum(C2:C27)</f>
        <v>141.97</v>
      </c>
      <c r="D28" s="30" t="s">
        <v>68</v>
      </c>
      <c r="E28" s="8"/>
      <c r="F28" s="8"/>
      <c r="G28" s="31" t="s">
        <v>69</v>
      </c>
      <c r="H28" s="34">
        <f>sum(C28,C43,C57)</f>
        <v>241.26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15">
        <f>minus(100,C28)</f>
        <v>-41.97</v>
      </c>
      <c r="D29" s="15" t="s">
        <v>77</v>
      </c>
      <c r="E29" s="8"/>
      <c r="F29" s="8"/>
      <c r="G29" s="23" t="s">
        <v>78</v>
      </c>
      <c r="H29" s="22">
        <f>minus(260,H28)</f>
        <v>18.74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4"/>
    </row>
    <row r="31">
      <c r="A31" s="2" t="s">
        <v>86</v>
      </c>
    </row>
    <row r="32">
      <c r="A32" s="4" t="s">
        <v>103</v>
      </c>
      <c r="C32" s="4">
        <v>7.35</v>
      </c>
      <c r="D32" s="4" t="s">
        <v>88</v>
      </c>
      <c r="G32" s="17"/>
      <c r="H32" s="17"/>
    </row>
    <row r="33">
      <c r="A33" s="6" t="s">
        <v>87</v>
      </c>
      <c r="B33" s="6"/>
      <c r="C33" s="4">
        <v>8.47</v>
      </c>
      <c r="D33" s="6" t="s">
        <v>88</v>
      </c>
      <c r="G33" s="42"/>
      <c r="H33" s="42"/>
    </row>
    <row r="34">
      <c r="A34" s="6" t="s">
        <v>11</v>
      </c>
      <c r="C34" s="4">
        <v>2.7</v>
      </c>
      <c r="D34" s="6" t="s">
        <v>88</v>
      </c>
    </row>
    <row r="35">
      <c r="A35" s="4" t="s">
        <v>26</v>
      </c>
      <c r="B35" s="4" t="s">
        <v>192</v>
      </c>
      <c r="C35" s="4">
        <v>19.12</v>
      </c>
      <c r="D35" s="6" t="s">
        <v>97</v>
      </c>
    </row>
    <row r="36">
      <c r="A36" s="4" t="s">
        <v>194</v>
      </c>
      <c r="B36" s="4" t="s">
        <v>195</v>
      </c>
      <c r="C36" s="4">
        <v>2.5</v>
      </c>
      <c r="D36" s="6" t="s">
        <v>97</v>
      </c>
    </row>
    <row r="37">
      <c r="A37" s="4" t="s">
        <v>197</v>
      </c>
      <c r="C37" s="4">
        <v>22.48</v>
      </c>
      <c r="D37" s="6" t="s">
        <v>97</v>
      </c>
    </row>
    <row r="38">
      <c r="A38" s="4" t="s">
        <v>9</v>
      </c>
      <c r="C38" s="4">
        <v>28.47</v>
      </c>
      <c r="D38" s="6" t="s">
        <v>97</v>
      </c>
    </row>
    <row r="39">
      <c r="A39" s="4" t="s">
        <v>196</v>
      </c>
      <c r="C39" s="4">
        <v>8.2</v>
      </c>
      <c r="D39" s="4" t="s">
        <v>108</v>
      </c>
    </row>
    <row r="43">
      <c r="C43" s="27">
        <f>sum(C32:C42)</f>
        <v>99.29</v>
      </c>
      <c r="D43" s="30" t="s">
        <v>68</v>
      </c>
    </row>
    <row r="44">
      <c r="C44" s="23">
        <f>minus(100,C43)</f>
        <v>0.71</v>
      </c>
      <c r="D44" s="22" t="s">
        <v>77</v>
      </c>
    </row>
    <row r="46">
      <c r="A46" s="2" t="s">
        <v>130</v>
      </c>
    </row>
    <row r="47">
      <c r="A47" s="3"/>
      <c r="B47" s="3"/>
      <c r="D47" s="3"/>
    </row>
    <row r="48">
      <c r="A48" s="3"/>
      <c r="B48" s="3"/>
      <c r="C48" s="26"/>
      <c r="D48" s="3"/>
    </row>
    <row r="49">
      <c r="A49" s="6"/>
      <c r="B49" s="6"/>
      <c r="C49" s="7"/>
      <c r="D49" s="6"/>
    </row>
    <row r="51">
      <c r="A51" s="3"/>
      <c r="B51" s="3"/>
      <c r="C51" s="26"/>
      <c r="D51" s="3"/>
    </row>
    <row r="53">
      <c r="A53" s="3"/>
      <c r="B53" s="3"/>
      <c r="C53" s="26"/>
      <c r="D53" s="3"/>
    </row>
    <row r="56">
      <c r="A56" s="4"/>
      <c r="B56" s="4"/>
      <c r="C56" s="4"/>
      <c r="D56" s="4"/>
    </row>
    <row r="57">
      <c r="A57" s="4"/>
      <c r="B57" s="4"/>
      <c r="C57" s="27">
        <f>sum(C47:C56)</f>
        <v>0</v>
      </c>
      <c r="D57" s="30" t="s">
        <v>68</v>
      </c>
    </row>
    <row r="58">
      <c r="A58" s="4"/>
      <c r="B58" s="4"/>
      <c r="C58" s="23">
        <f>minus(60,C57)</f>
        <v>60</v>
      </c>
      <c r="D58" s="22" t="s">
        <v>155</v>
      </c>
    </row>
  </sheetData>
  <mergeCells count="3">
    <mergeCell ref="A1:D1"/>
    <mergeCell ref="A31:D31"/>
    <mergeCell ref="A46:D46"/>
  </mergeCells>
  <drawing r:id="rId1"/>
</worksheet>
</file>